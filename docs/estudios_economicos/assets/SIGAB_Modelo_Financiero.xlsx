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Supuestos" sheetId="2" state="visible" r:id="rId4"/>
    <sheet name="Inversión Inicial" sheetId="3" state="visible" r:id="rId5"/>
    <sheet name="Ingresos" sheetId="4" state="visible" r:id="rId6"/>
    <sheet name="Costos de Producción" sheetId="5" state="visible" r:id="rId7"/>
    <sheet name="Pro-Forma" sheetId="6" state="visible" r:id="rId8"/>
    <sheet name="Punto de Equilibrio" sheetId="7" state="visible" r:id="rId9"/>
    <sheet name="VPN TMAR TI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<sst xmlns="http://schemas.openxmlformats.org/spreadsheetml/2006/main" count="254" uniqueCount="208">
  <si>
    <t xml:space="preserve">SIGAB — Resumen Ejecutivo Financiero</t>
  </si>
  <si>
    <t xml:space="preserve">Proyecto</t>
  </si>
  <si>
    <t xml:space="preserve">SIGAB — Sistema Integral de Gestión de Activos Biomédicos V2.0</t>
  </si>
  <si>
    <t xml:space="preserve">Sector</t>
  </si>
  <si>
    <t xml:space="preserve">HealthTech B2G — Gestión hospitalaria de equipo biomédico</t>
  </si>
  <si>
    <t xml:space="preserve">Horizonte</t>
  </si>
  <si>
    <t xml:space="preserve">5 años (2026-2030)</t>
  </si>
  <si>
    <t xml:space="preserve">Modelo de negocio</t>
  </si>
  <si>
    <t xml:space="preserve">Asset-Light: despliegue único + licencia anual on-premise</t>
  </si>
  <si>
    <t xml:space="preserve">INDICADORES FINANCIEROS CLAVE</t>
  </si>
  <si>
    <t xml:space="preserve">KPI</t>
  </si>
  <si>
    <t xml:space="preserve">Valor</t>
  </si>
  <si>
    <t xml:space="preserve">Unidad</t>
  </si>
  <si>
    <t xml:space="preserve">Interpretación</t>
  </si>
  <si>
    <t xml:space="preserve">Inversión inicial total</t>
  </si>
  <si>
    <t xml:space="preserve">MXN</t>
  </si>
  <si>
    <t xml:space="preserve">Capital requerido para iniciar</t>
  </si>
  <si>
    <t xml:space="preserve">Ingresos año 5</t>
  </si>
  <si>
    <t xml:space="preserve">Ventas al final del horizonte</t>
  </si>
  <si>
    <t xml:space="preserve">Utilidad neta año 5</t>
  </si>
  <si>
    <t xml:space="preserve">Resultado después de ISR</t>
  </si>
  <si>
    <t xml:space="preserve">Flujo de caja año 5</t>
  </si>
  <si>
    <t xml:space="preserve">Efectivo operativo al año 5</t>
  </si>
  <si>
    <t xml:space="preserve">Hospitales clientes año 5</t>
  </si>
  <si>
    <t xml:space="preserve">hosp</t>
  </si>
  <si>
    <t xml:space="preserve">Base de clientes acumulada</t>
  </si>
  <si>
    <t xml:space="preserve">Punto de equilibrio año 1</t>
  </si>
  <si>
    <t xml:space="preserve">hospitales</t>
  </si>
  <si>
    <t xml:space="preserve">Mínimo para cubrir costos fijos</t>
  </si>
  <si>
    <t xml:space="preserve">TMAR</t>
  </si>
  <si>
    <t xml:space="preserve">%</t>
  </si>
  <si>
    <t xml:space="preserve">Rendimiento mínimo exigido</t>
  </si>
  <si>
    <t xml:space="preserve">VPN @ TMAR</t>
  </si>
  <si>
    <t xml:space="preserve">Valor generado hoy</t>
  </si>
  <si>
    <t xml:space="preserve">TIR</t>
  </si>
  <si>
    <t xml:space="preserve">Rentabilidad intrínseca</t>
  </si>
  <si>
    <t xml:space="preserve">Decisión</t>
  </si>
  <si>
    <t xml:space="preserve">Regla de oro: VPN&gt;0 y TIR&gt;TMAR</t>
  </si>
  <si>
    <t xml:space="preserve">SIGAB — Supuestos del Modelo Financiero (5 años)</t>
  </si>
  <si>
    <t xml:space="preserve">Proyecto: Sistema Integral de Gestión de Activos Biomédicos</t>
  </si>
  <si>
    <t xml:space="preserve">Cliente objetivo: IMSS (HGR No.1 Tijuana como piloto) + hospitales públicos y privados</t>
  </si>
  <si>
    <t xml:space="preserve">Modelo: Asset-Light (Estrategia 2) — Hospital compra hardware; SIGAB cobra despliegue + licencia</t>
  </si>
  <si>
    <t xml:space="preserve">Horizonte: 5 años | Moneda: MXN | Tasa ISR: 30%</t>
  </si>
  <si>
    <t xml:space="preserve">INGRESOS — parámetros</t>
  </si>
  <si>
    <t xml:space="preserve">Cuota única de despliegue por hospital (MXN)</t>
  </si>
  <si>
    <t xml:space="preserve">Instalación, configuración, capacitación inicial</t>
  </si>
  <si>
    <t xml:space="preserve">Licencia anual por hospital — año 1 (MXN)</t>
  </si>
  <si>
    <t xml:space="preserve">Incluye soporte L2, actualizaciones, IA Copilot</t>
  </si>
  <si>
    <t xml:space="preserve">Licencia anual renovación años 2-5 (MXN)</t>
  </si>
  <si>
    <t xml:space="preserve">Renovación con precio estable</t>
  </si>
  <si>
    <t xml:space="preserve">Crecimiento anual de tarifas (inflación)</t>
  </si>
  <si>
    <t xml:space="preserve">IPC promedio México últimos 5 años</t>
  </si>
  <si>
    <t xml:space="preserve">Churn anual (% hospitales que no renuevan)</t>
  </si>
  <si>
    <t xml:space="preserve">Bajo por lock-in normativo NOM-016</t>
  </si>
  <si>
    <t xml:space="preserve">HOSPITALES ACUMULADOS POR AÑO</t>
  </si>
  <si>
    <t xml:space="preserve">Métrica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</si>
  <si>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</si>
  <si>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</si>
  <si>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</si>
  <si>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</si>
  <si>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</si>
  <si>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Notas</t>
  </si>
  <si>
    <t xml:space="preserve">Hospitales NUEVOS / año</t>
  </si>
  <si>
    <t xml:space="preserve">Crecimiento conservador post-piloto IMSS</t>
  </si>
  <si>
    <t xml:space="preserve">Hospitales ACUMULADOS (total)</t>
  </si>
  <si>
    <t xml:space="preserve">ESTRUCTURA DE COSTOS</t>
  </si>
  <si>
    <t xml:space="preserve">Costo variable (% de ingresos) — soporte, hosting local, mantenimiento</t>
  </si>
  <si>
    <t xml:space="preserve">Soporte L1, visitas técnicas, gastos despliegue</t>
  </si>
  <si>
    <t xml:space="preserve">Costos fijos año 1 — equipo fundador + freelancer</t>
  </si>
  <si>
    <t xml:space="preserve">2 fundadores @ $100k + $40k gastos</t>
  </si>
  <si>
    <t xml:space="preserve">Costos fijos año 2</t>
  </si>
  <si>
    <t xml:space="preserve">Fundadores completo + 1 KAM + mkt</t>
  </si>
  <si>
    <t xml:space="preserve">Costos fijos año 3</t>
  </si>
  <si>
    <t xml:space="preserve">Equipo de 4 (2 devs + 1 KAM + 1 admin)</t>
  </si>
  <si>
    <t xml:space="preserve">Costos fijos año 4</t>
  </si>
  <si>
    <t xml:space="preserve">Equipo de 5-6 (+1 dev, mkt ampliado)</t>
  </si>
  <si>
    <t xml:space="preserve">Costos fijos año 5</t>
  </si>
  <si>
    <t xml:space="preserve">Equipo consolidado 7-8 personas</t>
  </si>
  <si>
    <t xml:space="preserve">INVERSIÓN, DEPRECIACIÓN E IMPUESTOS</t>
  </si>
  <si>
    <t xml:space="preserve">Activo fijo tangible (equipo cómputo + oficina)</t>
  </si>
  <si>
    <t xml:space="preserve">ThinkCentre + monitores + mobiliario</t>
  </si>
  <si>
    <t xml:space="preserve">Activo intangible (desarrollo software capitalizado)</t>
  </si>
  <si>
    <t xml:space="preserve">8 meses dev @ valor de mercado</t>
  </si>
  <si>
    <t xml:space="preserve">Capital de trabajo inicial</t>
  </si>
  <si>
    <t xml:space="preserve">12 meses OpEx bajo escenario mínimo</t>
  </si>
  <si>
    <t xml:space="preserve">Gastos preoperativos (legal, permisos, marca)</t>
  </si>
  <si>
    <t xml:space="preserve">SAT, IMPI, constitución SA de CV</t>
  </si>
  <si>
    <t xml:space="preserve">Vida útil activo fijo (años)</t>
  </si>
  <si>
    <t xml:space="preserve">Línea recta fiscal</t>
  </si>
  <si>
    <t xml:space="preserve">Tasa ISR</t>
  </si>
  <si>
    <t xml:space="preserve">LISR México</t>
  </si>
  <si>
    <t xml:space="preserve">Tasa libre de riesgo (CETES 28d)</t>
  </si>
  <si>
    <t xml:space="preserve">CETES Mar-2026 (Banxico)</t>
  </si>
  <si>
    <t xml:space="preserve">Prima de riesgo (nuevo mercado HealthTech B2G)</t>
  </si>
  <si>
    <t xml:space="preserve">Rango 8-15% por nuevo mercado (PDF Prof. Piña)</t>
  </si>
  <si>
    <t xml:space="preserve">SIGAB — Inversión Inicial en Activo Fijo y Preoperativos</t>
  </si>
  <si>
    <t xml:space="preserve">Concepto</t>
  </si>
  <si>
    <t xml:space="preserve">Monto (MXN)</t>
  </si>
  <si>
    <t xml:space="preserve">% del total</t>
  </si>
  <si>
    <t xml:space="preserve">Descripción</t>
  </si>
  <si>
    <t xml:space="preserve">Activo fijo tangible (ThinkCentre + monitor + teclado + mobiliario)</t>
  </si>
  <si>
    <t xml:space="preserve">Equipo de cómputo, periféricos, escritorio</t>
  </si>
  <si>
    <t xml:space="preserve">Activo intangible (desarrollo de software)</t>
  </si>
  <si>
    <t xml:space="preserve">Capitalización de 8 meses de desarrollo</t>
  </si>
  <si>
    <t xml:space="preserve">Capital de trabajo</t>
  </si>
  <si>
    <t xml:space="preserve">12 meses de OpEx mínimo</t>
  </si>
  <si>
    <t xml:space="preserve">Gastos preoperativos (legal, permisos, marca, pagos iniciales)</t>
  </si>
  <si>
    <t xml:space="preserve">SAT, IMPI, notario, constitución</t>
  </si>
  <si>
    <t xml:space="preserve">TOTAL INVERSIÓN INICIAL</t>
  </si>
  <si>
    <t xml:space="preserve">DEPRECIACIÓN Y AMORTIZACIÓN ANUAL</t>
  </si>
  <si>
    <t xml:space="preserve">Monto anual</t>
  </si>
  <si>
    <t xml:space="preserve">Método</t>
  </si>
  <si>
    <t xml:space="preserve">Depreciación activo fijo tangible</t>
  </si>
  <si>
    <t xml:space="preserve">Línea recta 5 años</t>
  </si>
  <si>
    <t xml:space="preserve">ISR: 10-25% según activo; usamos 20%</t>
  </si>
  <si>
    <t xml:space="preserve">Amortización activo intangible</t>
  </si>
  <si>
    <t xml:space="preserve">Software desarrollado internamente</t>
  </si>
  <si>
    <t xml:space="preserve">TOTAL DEP + AMORT (anual)</t>
  </si>
  <si>
    <t xml:space="preserve">SIGAB — Proyección de Ingresos 5 años (Modelo Asset-Light)</t>
  </si>
  <si>
    <t xml:space="preserve">Fórmula</t>
  </si>
  <si>
    <t xml:space="preserve">Hospitales NUEVOS del año</t>
  </si>
  <si>
    <t xml:space="preserve">Link a Supuestos</t>
  </si>
  <si>
    <t xml:space="preserve">Hospitales RENOVANDO</t>
  </si>
  <si>
    <t xml:space="preserve">Acumulados previos × (1-churn)</t>
  </si>
  <si>
    <t xml:space="preserve">Hospitales ACTIVOS (total)</t>
  </si>
  <si>
    <t xml:space="preserve">Ingresos por DESPLIEGUE (nuevos × cuota)</t>
  </si>
  <si>
    <t xml:space="preserve">Ingresos por LICENCIAS (activos × tarifa)</t>
  </si>
  <si>
    <t xml:space="preserve">INGRESOS TOTALES</t>
  </si>
  <si>
    <t xml:space="preserve">Crecimiento anual (%)</t>
  </si>
  <si>
    <t xml:space="preserve">SIGAB — Estructura de Costos de Producción 5 años</t>
  </si>
  <si>
    <t xml:space="preserve">Base</t>
  </si>
  <si>
    <t xml:space="preserve">Costo variable (soporte, hosting, visitas técnicas)</t>
  </si>
  <si>
    <t xml:space="preserve">40% de ingresos</t>
  </si>
  <si>
    <t xml:space="preserve">Costos fijos (salarios + administración + marketing)</t>
  </si>
  <si>
    <t xml:space="preserve">Link Supuestos</t>
  </si>
  <si>
    <t xml:space="preserve">COSTO TOTAL DE PRODUCCIÓN</t>
  </si>
  <si>
    <t xml:space="preserve">DESGLOSE DE COSTOS FIJOS (ilustrativo año 3)</t>
  </si>
  <si>
    <t xml:space="preserve">% del fijo</t>
  </si>
  <si>
    <t xml:space="preserve">Salarios desarrolladores (2 personas)</t>
  </si>
  <si>
    <t xml:space="preserve">Full-stack senior + junior</t>
  </si>
  <si>
    <t xml:space="preserve">Salario comercial / KAM</t>
  </si>
  <si>
    <t xml:space="preserve">Gestión IMSS y clientes privados</t>
  </si>
  <si>
    <t xml:space="preserve">Marketing digital + asistencia a ferias</t>
  </si>
  <si>
    <t xml:space="preserve">Google Ads + HIMSS</t>
  </si>
  <si>
    <t xml:space="preserve">Servicios: oficina, luz, internet, software</t>
  </si>
  <si>
    <t xml:space="preserve">Coworking Tijuana</t>
  </si>
  <si>
    <t xml:space="preserve">Total fijo año 3 (cuadre)</t>
  </si>
  <si>
    <t xml:space="preserve">SIGAB — Estado de Resultados Pro-Forma (5 años)</t>
  </si>
  <si>
    <t xml:space="preserve">(+) Ingresos</t>
  </si>
  <si>
    <t xml:space="preserve">(−) Costo de ventas (variable)</t>
  </si>
  <si>
    <t xml:space="preserve">(=) Utilidad bruta</t>
  </si>
  <si>
    <t xml:space="preserve">   Margen bruto (%)</t>
  </si>
  <si>
    <t xml:space="preserve">(−) Gastos operativos fijos</t>
  </si>
  <si>
    <t xml:space="preserve">(−) Depreciación + Amortización</t>
  </si>
  <si>
    <t xml:space="preserve">(=) EBIT (Utilidad operativa)</t>
  </si>
  <si>
    <t xml:space="preserve">(−) ISR 30% (solo si EBIT &gt; 0)</t>
  </si>
  <si>
    <t xml:space="preserve">(=) Utilidad neta</t>
  </si>
  <si>
    <t xml:space="preserve">   Margen neto (%)</t>
  </si>
  <si>
    <t xml:space="preserve">(+) Depreciación (no-cash)</t>
  </si>
  <si>
    <t xml:space="preserve">(=) FLUJO DE CAJA OPERATIVO</t>
  </si>
  <si>
    <t xml:space="preserve">SIGAB — Análisis de Punto de Equilibrio (Año 1)</t>
  </si>
  <si>
    <t xml:space="preserve">Ingreso promedio por hospital-año (año 1)</t>
  </si>
  <si>
    <t xml:space="preserve">Ingresos totales año 1 / hospitales activos</t>
  </si>
  <si>
    <t xml:space="preserve">Costo variable por hospital-año</t>
  </si>
  <si>
    <t xml:space="preserve">Precio × % variable</t>
  </si>
  <si>
    <t xml:space="preserve">Margen de contribución por hospital</t>
  </si>
  <si>
    <t xml:space="preserve">Cuánto aporta cada hospital a cubrir fijos</t>
  </si>
  <si>
    <t xml:space="preserve">Margen de contribución (%)</t>
  </si>
  <si>
    <t xml:space="preserve">Costos fijos totales año 1 (OpEx + Dep/Amort)</t>
  </si>
  <si>
    <t xml:space="preserve">Sueldos + admin + depreciación</t>
  </si>
  <si>
    <t xml:space="preserve">PUNTO DE EQUILIBRIO (hospitales)</t>
  </si>
  <si>
    <t xml:space="preserve">Hospitales necesarios para cubrir costos fijos</t>
  </si>
  <si>
    <t xml:space="preserve">PUNTO DE EQUILIBRIO (ingresos MXN)</t>
  </si>
  <si>
    <t xml:space="preserve">Ventas mínimas para cubrir costos fijos</t>
  </si>
  <si>
    <t xml:space="preserve">Hospitales reales año 1</t>
  </si>
  <si>
    <t xml:space="preserve">Si &lt; punto de equilibrio, año 1 cierra con pérdida</t>
  </si>
  <si>
    <t xml:space="preserve">Margen de seguridad (%)</t>
  </si>
  <si>
    <t xml:space="preserve">PUNTO DE EQUILIBRIO POR AÑO (hospitales)</t>
  </si>
  <si>
    <t xml:space="preserve">Año</t>
  </si>
  <si>
    <t xml:space="preserve">Hospitales requeridos (BE)</t>
  </si>
  <si>
    <t xml:space="preserve">Hospitales reales</t>
  </si>
  <si>
    <t xml:space="preserve">SIGAB — VPN, TMAR y TIR</t>
  </si>
  <si>
    <t xml:space="preserve">CÁLCULO DE TMAR (Tasa Mínima Aceptable de Rendimiento)</t>
  </si>
  <si>
    <t xml:space="preserve">Componente</t>
  </si>
  <si>
    <t xml:space="preserve">Fuente</t>
  </si>
  <si>
    <t xml:space="preserve">Banxico — abril 2026</t>
  </si>
  <si>
    <t xml:space="preserve">Prima de riesgo</t>
  </si>
  <si>
    <t xml:space="preserve">Nuevo mercado HealthTech B2G (rango 8-15% PDF Prof. Piña)</t>
  </si>
  <si>
    <t xml:space="preserve">TMAR = Rf + Prima</t>
  </si>
  <si>
    <t xml:space="preserve">Piso mínimo de rentabilidad exigida</t>
  </si>
  <si>
    <t xml:space="preserve">FLUJOS DE CAJA DEL PROYECTO</t>
  </si>
  <si>
    <t xml:space="preserve">Flujo de caja</t>
  </si>
  <si>
    <t xml:space="preserve">Factor (1+TMAR)^n</t>
  </si>
  <si>
    <t xml:space="preserve">Valor Presente</t>
  </si>
  <si>
    <t xml:space="preserve">VP Acumulado</t>
  </si>
  <si>
    <t xml:space="preserve">Año 0</t>
  </si>
  <si>
    <t xml:space="preserve">1.0000</t>
  </si>
  <si>
    <t xml:space="preserve">VPN (Valor Presente Neto)</t>
  </si>
  <si>
    <t xml:space="preserve">Suma de todos los VP</t>
  </si>
  <si>
    <t xml:space="preserve">TIR (Tasa Interna de Retorno)</t>
  </si>
  <si>
    <t xml:space="preserve">Tasa que hace VPN = 0</t>
  </si>
  <si>
    <t xml:space="preserve">REGLA DE DECISIÓN</t>
  </si>
  <si>
    <t xml:space="preserve">VPN &gt; 0?</t>
  </si>
  <si>
    <t xml:space="preserve">TIR &gt; TMAR?</t>
  </si>
  <si>
    <t xml:space="preserve">DECISIÓN</t>
  </si>
  <si>
    <t xml:space="preserve">ANÁLISIS DE SENSIBILIDAD — VPN vs Tasa de Descuento</t>
  </si>
  <si>
    <t xml:space="preserve">Tasa de descuento</t>
  </si>
  <si>
    <t xml:space="preserve">VPN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</si>
</sst>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[RED]&quot;($&quot;#,##0\);\-"/>
    <numFmt numFmtId="166" formatCode="0.0"/>
    <numFmt numFmtId="167" formatCode="0.0%;[RED]\(0.0%\);\-"/>
    <numFmt numFmtId="168" formatCode="#,##0;[RED]\(#,##0\);\-"/>
    <numFmt numFmtId="169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D5D"/>
        <bgColor rgb="FF003300"/>
      </patternFill>
    </fill>
    <fill>
      <patternFill patternType="solid">
        <fgColor rgb="FFE6F2FA"/>
        <bgColor rgb="FFFFFFFF"/>
      </patternFill>
    </fill>
    <fill>
      <patternFill patternType="solid">
        <fgColor rgb="FF006CB7"/>
        <bgColor rgb="FF008080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6F2FA"/>
      <rgbColor rgb="FF660066"/>
      <rgbColor rgb="FFFF8080"/>
      <rgbColor rgb="FF006CB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D5D"/>
      <rgbColor rgb="FF10B98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2"/>
    <col collapsed="false" customWidth="true" hidden="false" outlineLevel="0" max="4" min="4" style="0" width="35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</row>
    <row r="5" customFormat="false" ht="15" hidden="false" customHeight="false" outlineLevel="0" collapsed="false">
      <c r="A5" s="2" t="s">
        <v>5</v>
      </c>
      <c r="B5" s="4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5" t="s">
        <v>9</v>
      </c>
      <c r="B8" s="5"/>
      <c r="C8" s="5"/>
      <c r="D8" s="5"/>
    </row>
    <row r="9" customFormat="false" ht="21.75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</row>
    <row r="10" customFormat="false" ht="15" hidden="false" customHeight="false" outlineLevel="0" collapsed="false">
      <c r="A10" s="7" t="s">
        <v>14</v>
      </c>
      <c r="B10" s="8" t="n">
        <f aca="false">'Inversión Inicial'!B8</f>
        <v>850000</v>
      </c>
      <c r="C10" s="9" t="s">
        <v>15</v>
      </c>
      <c r="D10" s="9" t="s">
        <v>16</v>
      </c>
    </row>
    <row r="11" customFormat="false" ht="15" hidden="false" customHeight="false" outlineLevel="0" collapsed="false">
      <c r="A11" s="7" t="s">
        <v>17</v>
      </c>
      <c r="B11" s="8" t="n">
        <f aca="false">Ingresos!F10</f>
        <v>5130999.64416</v>
      </c>
      <c r="C11" s="9" t="s">
        <v>15</v>
      </c>
      <c r="D11" s="9" t="s">
        <v>18</v>
      </c>
    </row>
    <row r="12" customFormat="false" ht="15" hidden="false" customHeight="false" outlineLevel="0" collapsed="false">
      <c r="A12" s="7" t="s">
        <v>19</v>
      </c>
      <c r="B12" s="8" t="n">
        <f aca="false">'Pro-Forma'!F12</f>
        <v>1191819.8505472</v>
      </c>
      <c r="C12" s="9" t="s">
        <v>15</v>
      </c>
      <c r="D12" s="9" t="s">
        <v>20</v>
      </c>
    </row>
    <row r="13" customFormat="false" ht="15" hidden="false" customHeight="false" outlineLevel="0" collapsed="false">
      <c r="A13" s="7" t="s">
        <v>21</v>
      </c>
      <c r="B13" s="8" t="n">
        <f aca="false">'Pro-Forma'!F15</f>
        <v>1267819.8505472</v>
      </c>
      <c r="C13" s="9" t="s">
        <v>15</v>
      </c>
      <c r="D13" s="9" t="s">
        <v>22</v>
      </c>
    </row>
    <row r="14" customFormat="false" ht="15" hidden="false" customHeight="false" outlineLevel="0" collapsed="false">
      <c r="A14" s="7" t="s">
        <v>23</v>
      </c>
      <c r="B14" s="10" t="n">
        <f aca="false">Ingresos!F6</f>
        <v>33.8</v>
      </c>
      <c r="C14" s="9" t="s">
        <v>24</v>
      </c>
      <c r="D14" s="9" t="s">
        <v>25</v>
      </c>
    </row>
    <row r="15" customFormat="false" ht="15" hidden="false" customHeight="false" outlineLevel="0" collapsed="false">
      <c r="A15" s="7" t="s">
        <v>26</v>
      </c>
      <c r="B15" s="10" t="n">
        <f aca="false">'Punto de Equilibrio'!B9</f>
        <v>3.51111111111111</v>
      </c>
      <c r="C15" s="9" t="s">
        <v>27</v>
      </c>
      <c r="D15" s="9" t="s">
        <v>28</v>
      </c>
    </row>
    <row r="16" customFormat="false" ht="15" hidden="false" customHeight="false" outlineLevel="0" collapsed="false">
      <c r="A16" s="7" t="s">
        <v>29</v>
      </c>
      <c r="B16" s="11" t="n">
        <f aca="false">'VPN TMAR TIR'!B7</f>
        <v>0.18</v>
      </c>
      <c r="C16" s="9" t="s">
        <v>30</v>
      </c>
      <c r="D16" s="9" t="s">
        <v>31</v>
      </c>
    </row>
    <row r="17" customFormat="false" ht="15" hidden="false" customHeight="false" outlineLevel="0" collapsed="false">
      <c r="A17" s="7" t="s">
        <v>32</v>
      </c>
      <c r="B17" s="8" t="n">
        <f aca="false">'VPN TMAR TIR'!B19</f>
        <v>493187.064369175</v>
      </c>
      <c r="C17" s="9" t="s">
        <v>15</v>
      </c>
      <c r="D17" s="9" t="s">
        <v>33</v>
      </c>
    </row>
    <row r="18" customFormat="false" ht="15" hidden="false" customHeight="false" outlineLevel="0" collapsed="false">
      <c r="A18" s="7" t="s">
        <v>34</v>
      </c>
      <c r="B18" s="11" t="n">
        <f aca="false">'VPN TMAR TIR'!B20</f>
        <v>0.325802094778085</v>
      </c>
      <c r="C18" s="9" t="s">
        <v>30</v>
      </c>
      <c r="D18" s="9" t="s">
        <v>35</v>
      </c>
    </row>
    <row r="19" customFormat="false" ht="15" hidden="false" customHeight="false" outlineLevel="0" collapsed="false">
      <c r="A19" s="12" t="s">
        <v>36</v>
      </c>
      <c r="B19" s="12" t="str">
        <f aca="false">IF(AND('VPN TMAR TIR'!B19&gt;0,'VPN TMAR TIR'!B20&gt;'VPN TMAR TIR'!B7),"INVERTIR OK","REVISAR")</f>
        <v>INVERTIR OK</v>
      </c>
      <c r="C19" s="12"/>
      <c r="D19" s="12" t="s">
        <v>37</v>
      </c>
    </row>
  </sheetData>
  <mergeCells count="5">
    <mergeCell ref="A1:D1"/>
    <mergeCell ref="B3:D3"/>
    <mergeCell ref="B4:D4"/>
    <mergeCell ref="B6:D6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  <col collapsed="false" customWidth="true" hidden="false" outlineLevel="0" max="7" min="7" style="0" width="42"/>
  </cols>
  <sheetData>
    <row r="1" customFormat="false" ht="25.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4" t="s">
        <v>40</v>
      </c>
    </row>
    <row r="4" customFormat="false" ht="15" hidden="false" customHeight="false" outlineLevel="0" collapsed="false">
      <c r="A4" s="4" t="s">
        <v>41</v>
      </c>
    </row>
    <row r="5" customFormat="false" ht="15" hidden="false" customHeight="false" outlineLevel="0" collapsed="false">
      <c r="A5" s="4" t="s">
        <v>42</v>
      </c>
    </row>
    <row r="7" customFormat="false" ht="15" hidden="false" customHeight="false" outlineLevel="0" collapsed="false">
      <c r="A7" s="13" t="s">
        <v>43</v>
      </c>
    </row>
    <row r="8" customFormat="false" ht="15" hidden="false" customHeight="false" outlineLevel="0" collapsed="false">
      <c r="A8" s="2" t="s">
        <v>44</v>
      </c>
      <c r="B8" s="14" t="n">
        <v>30000</v>
      </c>
      <c r="G8" s="4" t="s">
        <v>45</v>
      </c>
    </row>
    <row r="9" customFormat="false" ht="15" hidden="false" customHeight="false" outlineLevel="0" collapsed="false">
      <c r="A9" s="2" t="s">
        <v>46</v>
      </c>
      <c r="B9" s="14" t="n">
        <v>120000</v>
      </c>
      <c r="G9" s="4" t="s">
        <v>47</v>
      </c>
    </row>
    <row r="10" customFormat="false" ht="15" hidden="false" customHeight="false" outlineLevel="0" collapsed="false">
      <c r="A10" s="2" t="s">
        <v>48</v>
      </c>
      <c r="B10" s="14" t="n">
        <v>120000</v>
      </c>
      <c r="G10" s="4" t="s">
        <v>49</v>
      </c>
    </row>
    <row r="11" customFormat="false" ht="15" hidden="false" customHeight="false" outlineLevel="0" collapsed="false">
      <c r="A11" s="2" t="s">
        <v>50</v>
      </c>
      <c r="B11" s="15" t="n">
        <v>0.04</v>
      </c>
      <c r="G11" s="4" t="s">
        <v>51</v>
      </c>
    </row>
    <row r="12" customFormat="false" ht="15" hidden="false" customHeight="false" outlineLevel="0" collapsed="false">
      <c r="A12" s="2" t="s">
        <v>52</v>
      </c>
      <c r="B12" s="15" t="n">
        <v>0.05</v>
      </c>
      <c r="G12" s="4" t="s">
        <v>53</v>
      </c>
    </row>
    <row r="14" customFormat="false" ht="15" hidden="false" customHeight="false" outlineLevel="0" collapsed="false">
      <c r="A14" s="13" t="s">
        <v>54</v>
      </c>
    </row>
    <row r="15" customFormat="false" ht="21.75" hidden="false" customHeight="true" outlineLevel="0" collapsed="false">
      <c r="A15" s="6" t="s">
        <v>55</v>
      </c>
      <c r="B15" s="6" t="s">
        <v>56</v>
      </c>
      <c r="C15" s="6" t="s">
        <v>57</v>
      </c>
      <c r="D15" s="6" t="s">
        <v>58</v>
      </c>
      <c r="E15" s="6" t="s">
        <v>59</v>
      </c>
      <c r="F15" s="6" t="s">
        <v>60</v>
      </c>
      <c r="G15" s="6" t="s">
        <v>61</v>
      </c>
    </row>
    <row r="16" customFormat="false" ht="15" hidden="false" customHeight="false" outlineLevel="0" collapsed="false">
      <c r="A16" s="2" t="s">
        <v>62</v>
      </c>
      <c r="B16" s="16" t="n">
        <v>3</v>
      </c>
      <c r="C16" s="16" t="n">
        <v>5</v>
      </c>
      <c r="D16" s="16" t="n">
        <v>7</v>
      </c>
      <c r="E16" s="16" t="n">
        <v>9</v>
      </c>
      <c r="F16" s="16" t="n">
        <v>11</v>
      </c>
      <c r="G16" s="4" t="s">
        <v>63</v>
      </c>
    </row>
    <row r="17" customFormat="false" ht="15" hidden="false" customHeight="false" outlineLevel="0" collapsed="false">
      <c r="A17" s="2" t="s">
        <v>64</v>
      </c>
      <c r="B17" s="17" t="n">
        <f aca="false">B16</f>
        <v>3</v>
      </c>
      <c r="C17" s="17" t="n">
        <f aca="false">B17+C16</f>
        <v>8</v>
      </c>
      <c r="D17" s="17" t="n">
        <f aca="false">C17+D16</f>
        <v>15</v>
      </c>
      <c r="E17" s="17" t="n">
        <f aca="false">D17+E16</f>
        <v>24</v>
      </c>
      <c r="F17" s="17" t="n">
        <f aca="false">E17+F16</f>
        <v>35</v>
      </c>
    </row>
    <row r="19" customFormat="false" ht="15" hidden="false" customHeight="false" outlineLevel="0" collapsed="false">
      <c r="A19" s="13" t="s">
        <v>65</v>
      </c>
    </row>
    <row r="20" customFormat="false" ht="15" hidden="false" customHeight="false" outlineLevel="0" collapsed="false">
      <c r="A20" s="2" t="s">
        <v>66</v>
      </c>
      <c r="B20" s="15" t="n">
        <v>0.4</v>
      </c>
      <c r="G20" s="4" t="s">
        <v>67</v>
      </c>
    </row>
    <row r="21" customFormat="false" ht="15" hidden="false" customHeight="false" outlineLevel="0" collapsed="false">
      <c r="A21" s="2" t="s">
        <v>68</v>
      </c>
      <c r="B21" s="14" t="n">
        <v>240000</v>
      </c>
      <c r="G21" s="4" t="s">
        <v>69</v>
      </c>
    </row>
    <row r="22" customFormat="false" ht="15" hidden="false" customHeight="false" outlineLevel="0" collapsed="false">
      <c r="A22" s="2" t="s">
        <v>70</v>
      </c>
      <c r="B22" s="14" t="n">
        <v>480000</v>
      </c>
      <c r="G22" s="4" t="s">
        <v>71</v>
      </c>
    </row>
    <row r="23" customFormat="false" ht="15" hidden="false" customHeight="false" outlineLevel="0" collapsed="false">
      <c r="A23" s="2" t="s">
        <v>72</v>
      </c>
      <c r="B23" s="14" t="n">
        <v>720000</v>
      </c>
      <c r="G23" s="4" t="s">
        <v>73</v>
      </c>
    </row>
    <row r="24" customFormat="false" ht="15" hidden="false" customHeight="false" outlineLevel="0" collapsed="false">
      <c r="A24" s="2" t="s">
        <v>74</v>
      </c>
      <c r="B24" s="14" t="n">
        <v>1000000</v>
      </c>
      <c r="G24" s="4" t="s">
        <v>75</v>
      </c>
    </row>
    <row r="25" customFormat="false" ht="15" hidden="false" customHeight="false" outlineLevel="0" collapsed="false">
      <c r="A25" s="2" t="s">
        <v>76</v>
      </c>
      <c r="B25" s="14" t="n">
        <v>1300000</v>
      </c>
      <c r="G25" s="4" t="s">
        <v>77</v>
      </c>
    </row>
    <row r="27" customFormat="false" ht="15" hidden="false" customHeight="false" outlineLevel="0" collapsed="false">
      <c r="A27" s="13" t="s">
        <v>78</v>
      </c>
    </row>
    <row r="28" customFormat="false" ht="15" hidden="false" customHeight="false" outlineLevel="0" collapsed="false">
      <c r="A28" s="2" t="s">
        <v>79</v>
      </c>
      <c r="B28" s="14" t="n">
        <v>80000</v>
      </c>
      <c r="G28" s="4" t="s">
        <v>80</v>
      </c>
    </row>
    <row r="29" customFormat="false" ht="15" hidden="false" customHeight="false" outlineLevel="0" collapsed="false">
      <c r="A29" s="2" t="s">
        <v>81</v>
      </c>
      <c r="B29" s="14" t="n">
        <v>300000</v>
      </c>
      <c r="G29" s="4" t="s">
        <v>82</v>
      </c>
    </row>
    <row r="30" customFormat="false" ht="15" hidden="false" customHeight="false" outlineLevel="0" collapsed="false">
      <c r="A30" s="2" t="s">
        <v>83</v>
      </c>
      <c r="B30" s="14" t="n">
        <v>350000</v>
      </c>
      <c r="G30" s="4" t="s">
        <v>84</v>
      </c>
    </row>
    <row r="31" customFormat="false" ht="15" hidden="false" customHeight="false" outlineLevel="0" collapsed="false">
      <c r="A31" s="2" t="s">
        <v>85</v>
      </c>
      <c r="B31" s="14" t="n">
        <v>120000</v>
      </c>
      <c r="G31" s="4" t="s">
        <v>86</v>
      </c>
    </row>
    <row r="32" customFormat="false" ht="15" hidden="false" customHeight="false" outlineLevel="0" collapsed="false">
      <c r="A32" s="2" t="s">
        <v>87</v>
      </c>
      <c r="B32" s="18" t="n">
        <v>5</v>
      </c>
      <c r="G32" s="4" t="s">
        <v>88</v>
      </c>
    </row>
    <row r="33" customFormat="false" ht="15" hidden="false" customHeight="false" outlineLevel="0" collapsed="false">
      <c r="A33" s="2" t="s">
        <v>89</v>
      </c>
      <c r="B33" s="15" t="n">
        <v>0.3</v>
      </c>
      <c r="G33" s="4" t="s">
        <v>90</v>
      </c>
    </row>
    <row r="34" customFormat="false" ht="15" hidden="false" customHeight="false" outlineLevel="0" collapsed="false">
      <c r="A34" s="2" t="s">
        <v>91</v>
      </c>
      <c r="B34" s="15" t="n">
        <v>0.0925</v>
      </c>
      <c r="G34" s="4" t="s">
        <v>92</v>
      </c>
    </row>
    <row r="35" customFormat="false" ht="15" hidden="false" customHeight="false" outlineLevel="0" collapsed="false">
      <c r="A35" s="2" t="s">
        <v>93</v>
      </c>
      <c r="B35" s="15" t="n">
        <v>0.0875</v>
      </c>
      <c r="G35" s="4" t="s">
        <v>94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95</v>
      </c>
      <c r="B1" s="1"/>
      <c r="C1" s="1"/>
      <c r="D1" s="1"/>
    </row>
    <row r="3" customFormat="false" ht="21.75" hidden="false" customHeight="true" outlineLevel="0" collapsed="false">
      <c r="A3" s="6" t="s">
        <v>96</v>
      </c>
      <c r="B3" s="6" t="s">
        <v>97</v>
      </c>
      <c r="C3" s="6" t="s">
        <v>98</v>
      </c>
      <c r="D3" s="6" t="s">
        <v>99</v>
      </c>
    </row>
    <row r="4" customFormat="false" ht="15" hidden="false" customHeight="false" outlineLevel="0" collapsed="false">
      <c r="A4" s="9" t="s">
        <v>100</v>
      </c>
      <c r="B4" s="8" t="n">
        <f aca="false">Supuestos!B28</f>
        <v>80000</v>
      </c>
      <c r="C4" s="19" t="n">
        <f aca="false">B4/$B$8</f>
        <v>0.0941176470588235</v>
      </c>
      <c r="D4" s="9" t="s">
        <v>101</v>
      </c>
    </row>
    <row r="5" customFormat="false" ht="15" hidden="false" customHeight="false" outlineLevel="0" collapsed="false">
      <c r="A5" s="9" t="s">
        <v>102</v>
      </c>
      <c r="B5" s="8" t="n">
        <f aca="false">Supuestos!B29</f>
        <v>300000</v>
      </c>
      <c r="C5" s="19" t="n">
        <f aca="false">B5/$B$8</f>
        <v>0.352941176470588</v>
      </c>
      <c r="D5" s="9" t="s">
        <v>103</v>
      </c>
    </row>
    <row r="6" customFormat="false" ht="15" hidden="false" customHeight="false" outlineLevel="0" collapsed="false">
      <c r="A6" s="9" t="s">
        <v>104</v>
      </c>
      <c r="B6" s="8" t="n">
        <f aca="false">Supuestos!B30</f>
        <v>350000</v>
      </c>
      <c r="C6" s="19" t="n">
        <f aca="false">B6/$B$8</f>
        <v>0.411764705882353</v>
      </c>
      <c r="D6" s="9" t="s">
        <v>105</v>
      </c>
    </row>
    <row r="7" customFormat="false" ht="15" hidden="false" customHeight="false" outlineLevel="0" collapsed="false">
      <c r="A7" s="9" t="s">
        <v>106</v>
      </c>
      <c r="B7" s="8" t="n">
        <f aca="false">Supuestos!B31</f>
        <v>120000</v>
      </c>
      <c r="C7" s="19" t="n">
        <f aca="false">B7/$B$8</f>
        <v>0.141176470588235</v>
      </c>
      <c r="D7" s="9" t="s">
        <v>107</v>
      </c>
    </row>
    <row r="8" customFormat="false" ht="15" hidden="false" customHeight="false" outlineLevel="0" collapsed="false">
      <c r="A8" s="12" t="s">
        <v>108</v>
      </c>
      <c r="B8" s="20" t="n">
        <f aca="false">SUM(B4:B7)</f>
        <v>850000</v>
      </c>
      <c r="C8" s="21" t="n">
        <f aca="false">SUM(C4:C7)</f>
        <v>1</v>
      </c>
      <c r="D8" s="12"/>
    </row>
    <row r="11" customFormat="false" ht="15" hidden="false" customHeight="false" outlineLevel="0" collapsed="false">
      <c r="A11" s="13" t="s">
        <v>109</v>
      </c>
    </row>
    <row r="12" customFormat="false" ht="21.75" hidden="false" customHeight="true" outlineLevel="0" collapsed="false">
      <c r="A12" s="6" t="s">
        <v>96</v>
      </c>
      <c r="B12" s="6" t="s">
        <v>110</v>
      </c>
      <c r="C12" s="6" t="s">
        <v>111</v>
      </c>
      <c r="D12" s="6" t="s">
        <v>61</v>
      </c>
    </row>
    <row r="13" customFormat="false" ht="15" hidden="false" customHeight="false" outlineLevel="0" collapsed="false">
      <c r="A13" s="4" t="s">
        <v>112</v>
      </c>
      <c r="B13" s="22" t="n">
        <f aca="false">Supuestos!B28/Supuestos!B32</f>
        <v>16000</v>
      </c>
      <c r="C13" s="4" t="s">
        <v>113</v>
      </c>
      <c r="D13" s="4" t="s">
        <v>114</v>
      </c>
    </row>
    <row r="14" customFormat="false" ht="15" hidden="false" customHeight="false" outlineLevel="0" collapsed="false">
      <c r="A14" s="4" t="s">
        <v>115</v>
      </c>
      <c r="B14" s="22" t="n">
        <f aca="false">Supuestos!B29/Supuestos!B32</f>
        <v>60000</v>
      </c>
      <c r="C14" s="4" t="s">
        <v>113</v>
      </c>
      <c r="D14" s="4" t="s">
        <v>116</v>
      </c>
    </row>
    <row r="15" customFormat="false" ht="15" hidden="false" customHeight="false" outlineLevel="0" collapsed="false">
      <c r="A15" s="12" t="s">
        <v>117</v>
      </c>
      <c r="B15" s="20" t="n">
        <f aca="false">B13+B14</f>
        <v>76000</v>
      </c>
      <c r="C15" s="12"/>
      <c r="D15" s="1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6" t="s">
        <v>96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119</v>
      </c>
    </row>
    <row r="4" customFormat="false" ht="15" hidden="false" customHeight="false" outlineLevel="0" collapsed="false">
      <c r="A4" s="2" t="s">
        <v>120</v>
      </c>
      <c r="B4" s="23" t="n">
        <f aca="false">Supuestos!B16</f>
        <v>3</v>
      </c>
      <c r="C4" s="23" t="n">
        <f aca="false">Supuestos!C16</f>
        <v>5</v>
      </c>
      <c r="D4" s="23" t="n">
        <f aca="false">Supuestos!D16</f>
        <v>7</v>
      </c>
      <c r="E4" s="23" t="n">
        <f aca="false">Supuestos!E16</f>
        <v>9</v>
      </c>
      <c r="F4" s="23" t="n">
        <f aca="false">Supuestos!F16</f>
        <v>11</v>
      </c>
      <c r="G4" s="4" t="s">
        <v>121</v>
      </c>
    </row>
    <row r="5" customFormat="false" ht="15" hidden="false" customHeight="false" outlineLevel="0" collapsed="false">
      <c r="A5" s="2" t="s">
        <v>122</v>
      </c>
      <c r="B5" s="16" t="n">
        <v>0</v>
      </c>
      <c r="C5" s="17" t="n">
        <f aca="false">Supuestos!B17*(1-Supuestos!$B$12)</f>
        <v>2.85</v>
      </c>
      <c r="D5" s="17" t="n">
        <f aca="false">Supuestos!C17*(1-Supuestos!$B$12)</f>
        <v>7.6</v>
      </c>
      <c r="E5" s="17" t="n">
        <f aca="false">Supuestos!D17*(1-Supuestos!$B$12)</f>
        <v>14.25</v>
      </c>
      <c r="F5" s="17" t="n">
        <f aca="false">Supuestos!E17*(1-Supuestos!$B$12)</f>
        <v>22.8</v>
      </c>
      <c r="G5" s="4" t="s">
        <v>123</v>
      </c>
    </row>
    <row r="6" customFormat="false" ht="15" hidden="false" customHeight="false" outlineLevel="0" collapsed="false">
      <c r="A6" s="12" t="s">
        <v>124</v>
      </c>
      <c r="B6" s="24" t="n">
        <f aca="false">B4+B5</f>
        <v>3</v>
      </c>
      <c r="C6" s="24" t="n">
        <f aca="false">C4+C5</f>
        <v>7.85</v>
      </c>
      <c r="D6" s="24" t="n">
        <f aca="false">D4+D5</f>
        <v>14.6</v>
      </c>
      <c r="E6" s="24" t="n">
        <f aca="false">E4+E5</f>
        <v>23.25</v>
      </c>
      <c r="F6" s="24" t="n">
        <f aca="false">F4+F5</f>
        <v>33.8</v>
      </c>
      <c r="G6" s="12"/>
    </row>
    <row r="8" customFormat="false" ht="15" hidden="false" customHeight="false" outlineLevel="0" collapsed="false">
      <c r="A8" s="4" t="s">
        <v>125</v>
      </c>
      <c r="B8" s="25" t="n">
        <f aca="false">B4*Supuestos!$B$8*(1+Supuestos!$B$11)^0</f>
        <v>90000</v>
      </c>
      <c r="C8" s="25" t="n">
        <f aca="false">C4*Supuestos!$B$8*(1+Supuestos!$B$11)^1</f>
        <v>156000</v>
      </c>
      <c r="D8" s="25" t="n">
        <f aca="false">D4*Supuestos!$B$8*(1+Supuestos!$B$11)^2</f>
        <v>227136</v>
      </c>
      <c r="E8" s="25" t="n">
        <f aca="false">E4*Supuestos!$B$8*(1+Supuestos!$B$11)^3</f>
        <v>303713.28</v>
      </c>
      <c r="F8" s="25" t="n">
        <f aca="false">F4*Supuestos!$B$8*(1+Supuestos!$B$11)^4</f>
        <v>386053.3248</v>
      </c>
    </row>
    <row r="9" customFormat="false" ht="15" hidden="false" customHeight="false" outlineLevel="0" collapsed="false">
      <c r="A9" s="4" t="s">
        <v>126</v>
      </c>
      <c r="B9" s="25" t="n">
        <f aca="false">B6*Supuestos!$B$9*(1+Supuestos!$B$11)^0</f>
        <v>360000</v>
      </c>
      <c r="C9" s="25" t="n">
        <f aca="false">C6*Supuestos!$B$9*(1+Supuestos!$B$11)^1</f>
        <v>979680</v>
      </c>
      <c r="D9" s="25" t="n">
        <f aca="false">D6*Supuestos!$B$9*(1+Supuestos!$B$11)^2</f>
        <v>1894963.2</v>
      </c>
      <c r="E9" s="25" t="n">
        <f aca="false">E6*Supuestos!$B$9*(1+Supuestos!$B$11)^3</f>
        <v>3138370.56</v>
      </c>
      <c r="F9" s="25" t="n">
        <f aca="false">F6*Supuestos!$B$9*(1+Supuestos!$B$11)^4</f>
        <v>4744946.31936</v>
      </c>
    </row>
    <row r="10" customFormat="false" ht="15" hidden="false" customHeight="false" outlineLevel="0" collapsed="false">
      <c r="A10" s="12" t="s">
        <v>127</v>
      </c>
      <c r="B10" s="20" t="n">
        <f aca="false">B8+B9</f>
        <v>450000</v>
      </c>
      <c r="C10" s="20" t="n">
        <f aca="false">C8+C9</f>
        <v>1135680</v>
      </c>
      <c r="D10" s="20" t="n">
        <f aca="false">D8+D9</f>
        <v>2122099.2</v>
      </c>
      <c r="E10" s="20" t="n">
        <f aca="false">E8+E9</f>
        <v>3442083.84</v>
      </c>
      <c r="F10" s="20" t="n">
        <f aca="false">F8+F9</f>
        <v>5130999.64416</v>
      </c>
      <c r="G10" s="12"/>
    </row>
    <row r="12" customFormat="false" ht="15" hidden="false" customHeight="false" outlineLevel="0" collapsed="false">
      <c r="A12" s="2" t="s">
        <v>128</v>
      </c>
      <c r="C12" s="26" t="n">
        <f aca="false">(C10-B10)/B10</f>
        <v>1.52373333333333</v>
      </c>
      <c r="D12" s="26" t="n">
        <f aca="false">(D10-C10)/C10</f>
        <v>0.868571428571429</v>
      </c>
      <c r="E12" s="26" t="n">
        <f aca="false">(E10-D10)/D10</f>
        <v>0.622018348623853</v>
      </c>
      <c r="F12" s="26" t="n">
        <f aca="false">(F10-E10)/E10</f>
        <v>0.490666666666667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6" t="s">
        <v>96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130</v>
      </c>
    </row>
    <row r="4" customFormat="false" ht="15" hidden="false" customHeight="false" outlineLevel="0" collapsed="false">
      <c r="A4" s="4" t="s">
        <v>131</v>
      </c>
      <c r="B4" s="25" t="n">
        <f aca="false">Ingresos!B10*Supuestos!$B$20</f>
        <v>180000</v>
      </c>
      <c r="C4" s="25" t="n">
        <f aca="false">Ingresos!C10*Supuestos!$B$20</f>
        <v>454272</v>
      </c>
      <c r="D4" s="25" t="n">
        <f aca="false">Ingresos!D10*Supuestos!$B$20</f>
        <v>848839.68</v>
      </c>
      <c r="E4" s="25" t="n">
        <f aca="false">Ingresos!E10*Supuestos!$B$20</f>
        <v>1376833.536</v>
      </c>
      <c r="F4" s="25" t="n">
        <f aca="false">Ingresos!F10*Supuestos!$B$20</f>
        <v>2052399.857664</v>
      </c>
      <c r="G4" s="4" t="s">
        <v>132</v>
      </c>
    </row>
    <row r="5" customFormat="false" ht="15" hidden="false" customHeight="false" outlineLevel="0" collapsed="false">
      <c r="A5" s="4" t="s">
        <v>133</v>
      </c>
      <c r="B5" s="22" t="n">
        <f aca="false">Supuestos!B21</f>
        <v>240000</v>
      </c>
      <c r="C5" s="22" t="n">
        <f aca="false">Supuestos!B22</f>
        <v>480000</v>
      </c>
      <c r="D5" s="22" t="n">
        <f aca="false">Supuestos!B23</f>
        <v>720000</v>
      </c>
      <c r="E5" s="22" t="n">
        <f aca="false">Supuestos!B24</f>
        <v>1000000</v>
      </c>
      <c r="F5" s="22" t="n">
        <f aca="false">Supuestos!B25</f>
        <v>1300000</v>
      </c>
      <c r="G5" s="4" t="s">
        <v>134</v>
      </c>
    </row>
    <row r="6" customFormat="false" ht="15" hidden="false" customHeight="false" outlineLevel="0" collapsed="false">
      <c r="A6" s="12" t="s">
        <v>135</v>
      </c>
      <c r="B6" s="20" t="n">
        <f aca="false">B4+B5</f>
        <v>420000</v>
      </c>
      <c r="C6" s="20" t="n">
        <f aca="false">C4+C5</f>
        <v>934272</v>
      </c>
      <c r="D6" s="20" t="n">
        <f aca="false">D4+D5</f>
        <v>1568839.68</v>
      </c>
      <c r="E6" s="20" t="n">
        <f aca="false">E4+E5</f>
        <v>2376833.536</v>
      </c>
      <c r="F6" s="20" t="n">
        <f aca="false">F4+F5</f>
        <v>3352399.857664</v>
      </c>
      <c r="G6" s="12"/>
    </row>
    <row r="9" customFormat="false" ht="15" hidden="false" customHeight="false" outlineLevel="0" collapsed="false">
      <c r="A9" s="13" t="s">
        <v>136</v>
      </c>
    </row>
    <row r="10" customFormat="false" ht="21.75" hidden="false" customHeight="true" outlineLevel="0" collapsed="false">
      <c r="A10" s="6" t="s">
        <v>96</v>
      </c>
      <c r="B10" s="6" t="s">
        <v>110</v>
      </c>
      <c r="C10" s="6" t="s">
        <v>137</v>
      </c>
      <c r="D10" s="6" t="s">
        <v>61</v>
      </c>
    </row>
    <row r="11" customFormat="false" ht="15" hidden="false" customHeight="false" outlineLevel="0" collapsed="false">
      <c r="A11" s="4" t="s">
        <v>138</v>
      </c>
      <c r="B11" s="14" t="n">
        <v>480000</v>
      </c>
      <c r="C11" s="26" t="n">
        <f aca="false">B11/$B$15</f>
        <v>0.666666666666667</v>
      </c>
      <c r="D11" s="4" t="s">
        <v>139</v>
      </c>
    </row>
    <row r="12" customFormat="false" ht="15" hidden="false" customHeight="false" outlineLevel="0" collapsed="false">
      <c r="A12" s="4" t="s">
        <v>140</v>
      </c>
      <c r="B12" s="14" t="n">
        <v>180000</v>
      </c>
      <c r="C12" s="26" t="n">
        <f aca="false">B12/$B$15</f>
        <v>0.25</v>
      </c>
      <c r="D12" s="4" t="s">
        <v>141</v>
      </c>
    </row>
    <row r="13" customFormat="false" ht="15" hidden="false" customHeight="false" outlineLevel="0" collapsed="false">
      <c r="A13" s="4" t="s">
        <v>142</v>
      </c>
      <c r="B13" s="14" t="n">
        <v>40000</v>
      </c>
      <c r="C13" s="26" t="n">
        <f aca="false">B13/$B$15</f>
        <v>0.0555555555555556</v>
      </c>
      <c r="D13" s="4" t="s">
        <v>143</v>
      </c>
    </row>
    <row r="14" customFormat="false" ht="15" hidden="false" customHeight="false" outlineLevel="0" collapsed="false">
      <c r="A14" s="4" t="s">
        <v>144</v>
      </c>
      <c r="B14" s="14" t="n">
        <v>20000</v>
      </c>
      <c r="C14" s="26" t="n">
        <f aca="false">B14/$B$15</f>
        <v>0.0277777777777778</v>
      </c>
      <c r="D14" s="4" t="s">
        <v>145</v>
      </c>
    </row>
    <row r="15" customFormat="false" ht="15" hidden="false" customHeight="false" outlineLevel="0" collapsed="false">
      <c r="A15" s="12" t="s">
        <v>146</v>
      </c>
      <c r="B15" s="20" t="n">
        <f aca="false">SUM(B11:B14)</f>
        <v>720000</v>
      </c>
      <c r="C15" s="12"/>
      <c r="D15" s="1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147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6" t="s">
        <v>96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</row>
    <row r="4" customFormat="false" ht="15" hidden="false" customHeight="false" outlineLevel="0" collapsed="false">
      <c r="A4" s="2" t="s">
        <v>148</v>
      </c>
      <c r="B4" s="22" t="n">
        <f aca="false">Ingresos!B10</f>
        <v>450000</v>
      </c>
      <c r="C4" s="22" t="n">
        <f aca="false">Ingresos!C10</f>
        <v>1135680</v>
      </c>
      <c r="D4" s="22" t="n">
        <f aca="false">Ingresos!D10</f>
        <v>2122099.2</v>
      </c>
      <c r="E4" s="22" t="n">
        <f aca="false">Ingresos!E10</f>
        <v>3442083.84</v>
      </c>
      <c r="F4" s="22" t="n">
        <f aca="false">Ingresos!F10</f>
        <v>5130999.64416</v>
      </c>
    </row>
    <row r="5" customFormat="false" ht="15" hidden="false" customHeight="false" outlineLevel="0" collapsed="false">
      <c r="A5" s="4" t="s">
        <v>149</v>
      </c>
      <c r="B5" s="22" t="n">
        <f aca="false">'Costos de Producción'!B4</f>
        <v>180000</v>
      </c>
      <c r="C5" s="22" t="n">
        <f aca="false">'Costos de Producción'!C4</f>
        <v>454272</v>
      </c>
      <c r="D5" s="22" t="n">
        <f aca="false">'Costos de Producción'!D4</f>
        <v>848839.68</v>
      </c>
      <c r="E5" s="22" t="n">
        <f aca="false">'Costos de Producción'!E4</f>
        <v>1376833.536</v>
      </c>
      <c r="F5" s="22" t="n">
        <f aca="false">'Costos de Producción'!F4</f>
        <v>2052399.857664</v>
      </c>
    </row>
    <row r="6" customFormat="false" ht="15" hidden="false" customHeight="false" outlineLevel="0" collapsed="false">
      <c r="A6" s="2" t="s">
        <v>150</v>
      </c>
      <c r="B6" s="27" t="n">
        <f aca="false">B4-B5</f>
        <v>270000</v>
      </c>
      <c r="C6" s="27" t="n">
        <f aca="false">C4-C5</f>
        <v>681408</v>
      </c>
      <c r="D6" s="27" t="n">
        <f aca="false">D4-D5</f>
        <v>1273259.52</v>
      </c>
      <c r="E6" s="27" t="n">
        <f aca="false">E4-E5</f>
        <v>2065250.304</v>
      </c>
      <c r="F6" s="27" t="n">
        <f aca="false">F4-F5</f>
        <v>3078599.786496</v>
      </c>
    </row>
    <row r="7" customFormat="false" ht="15" hidden="false" customHeight="false" outlineLevel="0" collapsed="false">
      <c r="A7" s="4" t="s">
        <v>151</v>
      </c>
      <c r="B7" s="26" t="n">
        <f aca="false">B6/B4</f>
        <v>0.6</v>
      </c>
      <c r="C7" s="26" t="n">
        <f aca="false">C6/C4</f>
        <v>0.6</v>
      </c>
      <c r="D7" s="26" t="n">
        <f aca="false">D6/D4</f>
        <v>0.6</v>
      </c>
      <c r="E7" s="26" t="n">
        <f aca="false">E6/E4</f>
        <v>0.6</v>
      </c>
      <c r="F7" s="26" t="n">
        <f aca="false">F6/F4</f>
        <v>0.6</v>
      </c>
    </row>
    <row r="8" customFormat="false" ht="15" hidden="false" customHeight="false" outlineLevel="0" collapsed="false">
      <c r="A8" s="4" t="s">
        <v>152</v>
      </c>
      <c r="B8" s="22" t="n">
        <f aca="false">'Costos de Producción'!B5</f>
        <v>240000</v>
      </c>
      <c r="C8" s="22" t="n">
        <f aca="false">'Costos de Producción'!C5</f>
        <v>480000</v>
      </c>
      <c r="D8" s="22" t="n">
        <f aca="false">'Costos de Producción'!D5</f>
        <v>720000</v>
      </c>
      <c r="E8" s="22" t="n">
        <f aca="false">'Costos de Producción'!E5</f>
        <v>1000000</v>
      </c>
      <c r="F8" s="22" t="n">
        <f aca="false">'Costos de Producción'!F5</f>
        <v>1300000</v>
      </c>
    </row>
    <row r="9" customFormat="false" ht="15" hidden="false" customHeight="false" outlineLevel="0" collapsed="false">
      <c r="A9" s="4" t="s">
        <v>153</v>
      </c>
      <c r="B9" s="22" t="n">
        <f aca="false">'Inversión Inicial'!B15</f>
        <v>76000</v>
      </c>
      <c r="C9" s="22" t="n">
        <f aca="false">'Inversión Inicial'!B15</f>
        <v>76000</v>
      </c>
      <c r="D9" s="22" t="n">
        <f aca="false">'Inversión Inicial'!B15</f>
        <v>76000</v>
      </c>
      <c r="E9" s="22" t="n">
        <f aca="false">'Inversión Inicial'!B15</f>
        <v>76000</v>
      </c>
      <c r="F9" s="22" t="n">
        <f aca="false">'Inversión Inicial'!B15</f>
        <v>76000</v>
      </c>
    </row>
    <row r="10" customFormat="false" ht="15" hidden="false" customHeight="false" outlineLevel="0" collapsed="false">
      <c r="A10" s="2" t="s">
        <v>154</v>
      </c>
      <c r="B10" s="27" t="n">
        <f aca="false">B6-B8-B9</f>
        <v>-46000</v>
      </c>
      <c r="C10" s="27" t="n">
        <f aca="false">C6-C8-C9</f>
        <v>125408</v>
      </c>
      <c r="D10" s="27" t="n">
        <f aca="false">D6-D8-D9</f>
        <v>477259.52</v>
      </c>
      <c r="E10" s="27" t="n">
        <f aca="false">E6-E8-E9</f>
        <v>989250.304</v>
      </c>
      <c r="F10" s="27" t="n">
        <f aca="false">F6-F8-F9</f>
        <v>1702599.786496</v>
      </c>
    </row>
    <row r="11" customFormat="false" ht="15" hidden="false" customHeight="false" outlineLevel="0" collapsed="false">
      <c r="A11" s="4" t="s">
        <v>155</v>
      </c>
      <c r="B11" s="25" t="n">
        <f aca="false">MAX(0,B10)*Supuestos!$B$33</f>
        <v>0</v>
      </c>
      <c r="C11" s="25" t="n">
        <f aca="false">MAX(0,C10)*Supuestos!$B$33</f>
        <v>37622.4</v>
      </c>
      <c r="D11" s="25" t="n">
        <f aca="false">MAX(0,D10)*Supuestos!$B$33</f>
        <v>143177.856</v>
      </c>
      <c r="E11" s="25" t="n">
        <f aca="false">MAX(0,E10)*Supuestos!$B$33</f>
        <v>296775.0912</v>
      </c>
      <c r="F11" s="25" t="n">
        <f aca="false">MAX(0,F10)*Supuestos!$B$33</f>
        <v>510779.9359488</v>
      </c>
    </row>
    <row r="12" customFormat="false" ht="15" hidden="false" customHeight="false" outlineLevel="0" collapsed="false">
      <c r="A12" s="12" t="s">
        <v>156</v>
      </c>
      <c r="B12" s="20" t="n">
        <f aca="false">B10-B11</f>
        <v>-46000</v>
      </c>
      <c r="C12" s="20" t="n">
        <f aca="false">C10-C11</f>
        <v>87785.6</v>
      </c>
      <c r="D12" s="20" t="n">
        <f aca="false">D10-D11</f>
        <v>334081.664</v>
      </c>
      <c r="E12" s="20" t="n">
        <f aca="false">E10-E11</f>
        <v>692475.2128</v>
      </c>
      <c r="F12" s="20" t="n">
        <f aca="false">F10-F11</f>
        <v>1191819.8505472</v>
      </c>
    </row>
    <row r="13" customFormat="false" ht="15" hidden="false" customHeight="false" outlineLevel="0" collapsed="false">
      <c r="A13" s="4" t="s">
        <v>157</v>
      </c>
      <c r="B13" s="26" t="n">
        <f aca="false">B12/B4</f>
        <v>-0.102222222222222</v>
      </c>
      <c r="C13" s="26" t="n">
        <f aca="false">C12/C4</f>
        <v>0.0772978303747535</v>
      </c>
      <c r="D13" s="26" t="n">
        <f aca="false">D12/D4</f>
        <v>0.157429805354999</v>
      </c>
      <c r="E13" s="26" t="n">
        <f aca="false">E12/E4</f>
        <v>0.201179066225185</v>
      </c>
      <c r="F13" s="26" t="n">
        <f aca="false">F12/F4</f>
        <v>0.232278295303276</v>
      </c>
    </row>
    <row r="14" customFormat="false" ht="15" hidden="false" customHeight="false" outlineLevel="0" collapsed="false">
      <c r="A14" s="4" t="s">
        <v>158</v>
      </c>
      <c r="B14" s="25" t="n">
        <f aca="false">B9</f>
        <v>76000</v>
      </c>
      <c r="C14" s="25" t="n">
        <f aca="false">C9</f>
        <v>76000</v>
      </c>
      <c r="D14" s="25" t="n">
        <f aca="false">D9</f>
        <v>76000</v>
      </c>
      <c r="E14" s="25" t="n">
        <f aca="false">E9</f>
        <v>76000</v>
      </c>
      <c r="F14" s="25" t="n">
        <f aca="false">F9</f>
        <v>76000</v>
      </c>
    </row>
    <row r="15" customFormat="false" ht="15" hidden="false" customHeight="false" outlineLevel="0" collapsed="false">
      <c r="A15" s="12" t="s">
        <v>159</v>
      </c>
      <c r="B15" s="20" t="n">
        <f aca="false">B12+B14</f>
        <v>30000</v>
      </c>
      <c r="C15" s="20" t="n">
        <f aca="false">C12+C14</f>
        <v>163785.6</v>
      </c>
      <c r="D15" s="20" t="n">
        <f aca="false">D12+D14</f>
        <v>410081.664</v>
      </c>
      <c r="E15" s="20" t="n">
        <f aca="false">E12+E14</f>
        <v>768475.2128</v>
      </c>
      <c r="F15" s="20" t="n">
        <f aca="false">F12+F14</f>
        <v>1267819.8505472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160</v>
      </c>
      <c r="B1" s="1"/>
      <c r="C1" s="1"/>
    </row>
    <row r="3" customFormat="false" ht="21.75" hidden="false" customHeight="true" outlineLevel="0" collapsed="false">
      <c r="A3" s="6" t="s">
        <v>96</v>
      </c>
      <c r="B3" s="6" t="s">
        <v>11</v>
      </c>
      <c r="C3" s="6" t="s">
        <v>61</v>
      </c>
    </row>
    <row r="4" customFormat="false" ht="15" hidden="false" customHeight="false" outlineLevel="0" collapsed="false">
      <c r="A4" s="4" t="s">
        <v>161</v>
      </c>
      <c r="B4" s="25" t="n">
        <f aca="false">(Ingresos!B10)/Ingresos!B6</f>
        <v>150000</v>
      </c>
      <c r="C4" s="4" t="s">
        <v>162</v>
      </c>
    </row>
    <row r="5" customFormat="false" ht="15" hidden="false" customHeight="false" outlineLevel="0" collapsed="false">
      <c r="A5" s="4" t="s">
        <v>163</v>
      </c>
      <c r="B5" s="25" t="n">
        <f aca="false">B4*Supuestos!B20</f>
        <v>60000</v>
      </c>
      <c r="C5" s="4" t="s">
        <v>164</v>
      </c>
    </row>
    <row r="6" customFormat="false" ht="15" hidden="false" customHeight="false" outlineLevel="0" collapsed="false">
      <c r="A6" s="2" t="s">
        <v>165</v>
      </c>
      <c r="B6" s="27" t="n">
        <f aca="false">B4-B5</f>
        <v>90000</v>
      </c>
      <c r="C6" s="4" t="s">
        <v>166</v>
      </c>
    </row>
    <row r="7" customFormat="false" ht="15" hidden="false" customHeight="false" outlineLevel="0" collapsed="false">
      <c r="A7" s="4" t="s">
        <v>167</v>
      </c>
      <c r="B7" s="26" t="n">
        <f aca="false">B6/B4</f>
        <v>0.6</v>
      </c>
    </row>
    <row r="8" customFormat="false" ht="15" hidden="false" customHeight="false" outlineLevel="0" collapsed="false">
      <c r="A8" s="4" t="s">
        <v>168</v>
      </c>
      <c r="B8" s="25" t="n">
        <f aca="false">Supuestos!B21+'Inversión Inicial'!B15</f>
        <v>316000</v>
      </c>
      <c r="C8" s="4" t="s">
        <v>169</v>
      </c>
    </row>
    <row r="9" customFormat="false" ht="15" hidden="false" customHeight="false" outlineLevel="0" collapsed="false">
      <c r="A9" s="12" t="s">
        <v>170</v>
      </c>
      <c r="B9" s="28" t="n">
        <f aca="false">B8/B6</f>
        <v>3.51111111111111</v>
      </c>
      <c r="C9" s="12" t="s">
        <v>171</v>
      </c>
    </row>
    <row r="10" customFormat="false" ht="15" hidden="false" customHeight="false" outlineLevel="0" collapsed="false">
      <c r="A10" s="12" t="s">
        <v>172</v>
      </c>
      <c r="B10" s="20" t="n">
        <f aca="false">B8/B7</f>
        <v>526666.666666667</v>
      </c>
      <c r="C10" s="12" t="s">
        <v>173</v>
      </c>
    </row>
    <row r="11" customFormat="false" ht="15" hidden="false" customHeight="false" outlineLevel="0" collapsed="false">
      <c r="A11" s="4" t="s">
        <v>174</v>
      </c>
      <c r="B11" s="29" t="n">
        <f aca="false">Ingresos!B6</f>
        <v>3</v>
      </c>
      <c r="C11" s="4" t="s">
        <v>175</v>
      </c>
    </row>
    <row r="12" customFormat="false" ht="15" hidden="false" customHeight="false" outlineLevel="0" collapsed="false">
      <c r="A12" s="4" t="s">
        <v>176</v>
      </c>
      <c r="B12" s="26" t="n">
        <f aca="false">IF(B11&gt;B9,(B11-B9)/B11,(B11-B9)/B9)</f>
        <v>-0.145569620253165</v>
      </c>
    </row>
    <row r="15" customFormat="false" ht="15" hidden="false" customHeight="false" outlineLevel="0" collapsed="false">
      <c r="A15" s="13" t="s">
        <v>177</v>
      </c>
    </row>
    <row r="16" customFormat="false" ht="21.75" hidden="false" customHeight="true" outlineLevel="0" collapsed="false">
      <c r="A16" s="6" t="s">
        <v>178</v>
      </c>
      <c r="B16" s="6" t="s">
        <v>179</v>
      </c>
      <c r="C16" s="6" t="s">
        <v>180</v>
      </c>
    </row>
    <row r="17" customFormat="false" ht="15" hidden="false" customHeight="false" outlineLevel="0" collapsed="false">
      <c r="A17" s="4" t="s">
        <v>56</v>
      </c>
      <c r="B17" s="30" t="n">
        <f aca="false">(Supuestos!B21+'Inversión Inicial'!B15)/((Ingresos!B10/Ingresos!B6)*(1-Supuestos!$B$20))</f>
        <v>3.51111111111111</v>
      </c>
      <c r="C17" s="29" t="n">
        <f aca="false">Ingresos!B6</f>
        <v>3</v>
      </c>
    </row>
    <row r="18" customFormat="false" ht="15" hidden="false" customHeight="false" outlineLevel="0" collapsed="false">
      <c r="A18" s="4" t="s">
        <v>57</v>
      </c>
      <c r="B18" s="30" t="n">
        <f aca="false">(Supuestos!B22+'Inversión Inicial'!B15)/((Ingresos!C10/Ingresos!C6)*(1-Supuestos!$B$20))</f>
        <v>6.4052667418052</v>
      </c>
      <c r="C18" s="29" t="n">
        <f aca="false">Ingresos!C6</f>
        <v>7.85</v>
      </c>
    </row>
    <row r="19" customFormat="false" ht="15" hidden="false" customHeight="false" outlineLevel="0" collapsed="false">
      <c r="A19" s="4" t="s">
        <v>58</v>
      </c>
      <c r="B19" s="30" t="n">
        <f aca="false">(Supuestos!B23+'Inversión Inicial'!B15)/((Ingresos!D10/Ingresos!D6)*(1-Supuestos!$B$20))</f>
        <v>9.12744009956431</v>
      </c>
      <c r="C19" s="29" t="n">
        <f aca="false">Ingresos!D6</f>
        <v>14.6</v>
      </c>
    </row>
    <row r="20" customFormat="false" ht="15" hidden="false" customHeight="false" outlineLevel="0" collapsed="false">
      <c r="A20" s="4" t="s">
        <v>59</v>
      </c>
      <c r="B20" s="30" t="n">
        <f aca="false">(Supuestos!B24+'Inversión Inicial'!B15)/((Ingresos!E10/Ingresos!E6)*(1-Supuestos!$B$20))</f>
        <v>12.1133016911058</v>
      </c>
      <c r="C20" s="29" t="n">
        <f aca="false">Ingresos!E6</f>
        <v>23.25</v>
      </c>
    </row>
    <row r="21" customFormat="false" ht="15" hidden="false" customHeight="false" outlineLevel="0" collapsed="false">
      <c r="A21" s="4" t="s">
        <v>60</v>
      </c>
      <c r="B21" s="30" t="n">
        <f aca="false">(Supuestos!B25+'Inversión Inicial'!B15)/((Ingresos!F10/Ingresos!F6)*(1-Supuestos!$B$20))</f>
        <v>15.1071276636887</v>
      </c>
      <c r="C21" s="29" t="n">
        <f aca="false">Ingresos!F6</f>
        <v>33.8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181</v>
      </c>
      <c r="B1" s="1"/>
      <c r="C1" s="1"/>
      <c r="D1" s="1"/>
      <c r="E1" s="1"/>
    </row>
    <row r="3" customFormat="false" ht="15" hidden="false" customHeight="false" outlineLevel="0" collapsed="false">
      <c r="A3" s="5" t="s">
        <v>182</v>
      </c>
      <c r="B3" s="5"/>
      <c r="C3" s="5"/>
      <c r="D3" s="5"/>
      <c r="E3" s="5"/>
    </row>
    <row r="4" customFormat="false" ht="21.75" hidden="false" customHeight="true" outlineLevel="0" collapsed="false">
      <c r="A4" s="6" t="s">
        <v>183</v>
      </c>
      <c r="B4" s="6" t="s">
        <v>11</v>
      </c>
      <c r="C4" s="6"/>
      <c r="D4" s="6"/>
      <c r="E4" s="6" t="s">
        <v>184</v>
      </c>
    </row>
    <row r="5" customFormat="false" ht="15" hidden="false" customHeight="false" outlineLevel="0" collapsed="false">
      <c r="A5" s="4" t="s">
        <v>91</v>
      </c>
      <c r="B5" s="31" t="n">
        <f aca="false">Supuestos!B34</f>
        <v>0.0925</v>
      </c>
      <c r="E5" s="4" t="s">
        <v>185</v>
      </c>
    </row>
    <row r="6" customFormat="false" ht="15" hidden="false" customHeight="false" outlineLevel="0" collapsed="false">
      <c r="A6" s="4" t="s">
        <v>186</v>
      </c>
      <c r="B6" s="31" t="n">
        <f aca="false">Supuestos!B35</f>
        <v>0.0875</v>
      </c>
      <c r="E6" s="4" t="s">
        <v>187</v>
      </c>
    </row>
    <row r="7" customFormat="false" ht="15" hidden="false" customHeight="false" outlineLevel="0" collapsed="false">
      <c r="A7" s="12" t="s">
        <v>188</v>
      </c>
      <c r="B7" s="21" t="n">
        <f aca="false">B5+B6</f>
        <v>0.18</v>
      </c>
      <c r="C7" s="12"/>
      <c r="D7" s="12"/>
      <c r="E7" s="12" t="s">
        <v>189</v>
      </c>
    </row>
    <row r="10" customFormat="false" ht="15" hidden="false" customHeight="false" outlineLevel="0" collapsed="false">
      <c r="A10" s="5" t="s">
        <v>190</v>
      </c>
      <c r="B10" s="5"/>
      <c r="C10" s="5"/>
      <c r="D10" s="5"/>
      <c r="E10" s="5"/>
    </row>
    <row r="11" customFormat="false" ht="21.75" hidden="false" customHeight="true" outlineLevel="0" collapsed="false">
      <c r="A11" s="6" t="s">
        <v>178</v>
      </c>
      <c r="B11" s="6" t="s">
        <v>191</v>
      </c>
      <c r="C11" s="6" t="s">
        <v>192</v>
      </c>
      <c r="D11" s="6" t="s">
        <v>193</v>
      </c>
      <c r="E11" s="6" t="s">
        <v>194</v>
      </c>
    </row>
    <row r="12" customFormat="false" ht="15" hidden="false" customHeight="false" outlineLevel="0" collapsed="false">
      <c r="A12" s="2" t="s">
        <v>195</v>
      </c>
      <c r="B12" s="22" t="n">
        <f aca="false">-'Inversión Inicial'!B8</f>
        <v>-850000</v>
      </c>
      <c r="C12" s="32" t="s">
        <v>196</v>
      </c>
      <c r="D12" s="25" t="n">
        <f aca="false">B12</f>
        <v>-850000</v>
      </c>
      <c r="E12" s="25" t="n">
        <f aca="false">D12</f>
        <v>-850000</v>
      </c>
    </row>
    <row r="13" customFormat="false" ht="15" hidden="false" customHeight="false" outlineLevel="0" collapsed="false">
      <c r="A13" s="2" t="s">
        <v>56</v>
      </c>
      <c r="B13" s="22" t="n">
        <f aca="false">'Pro-Forma'!B15</f>
        <v>30000</v>
      </c>
      <c r="C13" s="33" t="n">
        <f aca="false">(1+$B$7)^1</f>
        <v>1.18</v>
      </c>
      <c r="D13" s="25" t="n">
        <f aca="false">B13/C13</f>
        <v>25423.7288135593</v>
      </c>
      <c r="E13" s="25" t="n">
        <f aca="false">E12+D13</f>
        <v>-824576.271186441</v>
      </c>
    </row>
    <row r="14" customFormat="false" ht="15" hidden="false" customHeight="false" outlineLevel="0" collapsed="false">
      <c r="A14" s="2" t="s">
        <v>57</v>
      </c>
      <c r="B14" s="22" t="n">
        <f aca="false">'Pro-Forma'!C15</f>
        <v>163785.6</v>
      </c>
      <c r="C14" s="33" t="n">
        <f aca="false">(1+$B$7)^2</f>
        <v>1.3924</v>
      </c>
      <c r="D14" s="25" t="n">
        <f aca="false">B14/C14</f>
        <v>117628.267739155</v>
      </c>
      <c r="E14" s="25" t="n">
        <f aca="false">E13+D14</f>
        <v>-706948.003447285</v>
      </c>
    </row>
    <row r="15" customFormat="false" ht="15" hidden="false" customHeight="false" outlineLevel="0" collapsed="false">
      <c r="A15" s="2" t="s">
        <v>58</v>
      </c>
      <c r="B15" s="22" t="n">
        <f aca="false">'Pro-Forma'!D15</f>
        <v>410081.664</v>
      </c>
      <c r="C15" s="33" t="n">
        <f aca="false">(1+$B$7)^3</f>
        <v>1.643032</v>
      </c>
      <c r="D15" s="25" t="n">
        <f aca="false">B15/C15</f>
        <v>249588.361030096</v>
      </c>
      <c r="E15" s="25" t="n">
        <f aca="false">E14+D15</f>
        <v>-457359.64241719</v>
      </c>
    </row>
    <row r="16" customFormat="false" ht="15" hidden="false" customHeight="false" outlineLevel="0" collapsed="false">
      <c r="A16" s="2" t="s">
        <v>59</v>
      </c>
      <c r="B16" s="22" t="n">
        <f aca="false">'Pro-Forma'!E15</f>
        <v>768475.2128</v>
      </c>
      <c r="C16" s="33" t="n">
        <f aca="false">(1+$B$7)^4</f>
        <v>1.93877776</v>
      </c>
      <c r="D16" s="25" t="n">
        <f aca="false">B16/C16</f>
        <v>396370.965592261</v>
      </c>
      <c r="E16" s="25" t="n">
        <f aca="false">E15+D16</f>
        <v>-60988.6768249291</v>
      </c>
    </row>
    <row r="17" customFormat="false" ht="15" hidden="false" customHeight="false" outlineLevel="0" collapsed="false">
      <c r="A17" s="2" t="s">
        <v>60</v>
      </c>
      <c r="B17" s="22" t="n">
        <f aca="false">'Pro-Forma'!F15</f>
        <v>1267819.8505472</v>
      </c>
      <c r="C17" s="33" t="n">
        <f aca="false">(1+$B$7)^5</f>
        <v>2.2877577568</v>
      </c>
      <c r="D17" s="25" t="n">
        <f aca="false">B17/C17</f>
        <v>554175.741194104</v>
      </c>
      <c r="E17" s="25" t="n">
        <f aca="false">E16+D17</f>
        <v>493187.064369175</v>
      </c>
    </row>
    <row r="19" customFormat="false" ht="15" hidden="false" customHeight="false" outlineLevel="0" collapsed="false">
      <c r="A19" s="12" t="s">
        <v>197</v>
      </c>
      <c r="B19" s="20" t="n">
        <f aca="false">SUM(D12:D18)</f>
        <v>493187.064369175</v>
      </c>
      <c r="C19" s="12"/>
      <c r="D19" s="12"/>
      <c r="E19" s="12" t="s">
        <v>198</v>
      </c>
    </row>
    <row r="20" customFormat="false" ht="15" hidden="false" customHeight="false" outlineLevel="0" collapsed="false">
      <c r="A20" s="12" t="s">
        <v>199</v>
      </c>
      <c r="B20" s="21" t="n">
        <f aca="false">IRR(B12:B17)</f>
        <v>0.325802094778085</v>
      </c>
      <c r="C20" s="12"/>
      <c r="D20" s="12"/>
      <c r="E20" s="12" t="s">
        <v>200</v>
      </c>
    </row>
    <row r="22" customFormat="false" ht="15" hidden="false" customHeight="false" outlineLevel="0" collapsed="false">
      <c r="A22" s="13" t="s">
        <v>201</v>
      </c>
    </row>
    <row r="23" customFormat="false" ht="15" hidden="false" customHeight="false" outlineLevel="0" collapsed="false">
      <c r="A23" s="2" t="s">
        <v>202</v>
      </c>
      <c r="B23" s="34" t="str">
        <f aca="false">IF(B19&gt;0,"SÍ ✓","NO ✗")</f>
        <v>SÍ ✓</v>
      </c>
    </row>
    <row r="24" customFormat="false" ht="15" hidden="false" customHeight="false" outlineLevel="0" collapsed="false">
      <c r="A24" s="2" t="s">
        <v>203</v>
      </c>
      <c r="B24" s="34" t="str">
        <f aca="false">IF(B20&gt;B7,"SÍ ✓","NO ✗")</f>
        <v>SÍ ✓</v>
      </c>
    </row>
    <row r="25" customFormat="false" ht="15" hidden="false" customHeight="false" outlineLevel="0" collapsed="false">
      <c r="A25" s="12" t="s">
        <v>204</v>
      </c>
      <c r="B25" s="12" t="str">
        <f aca="false">IF(AND(B19&gt;0,B20&gt;B7),"INVERTIR","NO INVERTIR")</f>
        <v>INVERTIR</v>
      </c>
      <c r="C25" s="12"/>
      <c r="D25" s="12"/>
      <c r="E25" s="12"/>
    </row>
    <row r="28" customFormat="false" ht="15" hidden="false" customHeight="false" outlineLevel="0" collapsed="false">
      <c r="A28" s="5" t="s">
        <v>205</v>
      </c>
      <c r="B28" s="5"/>
      <c r="C28" s="5"/>
      <c r="D28" s="5"/>
      <c r="E28" s="5"/>
    </row>
    <row r="29" customFormat="false" ht="21.75" hidden="false" customHeight="true" outlineLevel="0" collapsed="false">
      <c r="A29" s="6" t="s">
        <v>206</v>
      </c>
      <c r="B29" s="6" t="s">
        <v>207</v>
      </c>
      <c r="C29" s="6"/>
      <c r="D29" s="6"/>
      <c r="E29" s="6" t="s">
        <v>13</v>
      </c>
    </row>
    <row r="30" customFormat="false" ht="15" hidden="false" customHeight="false" outlineLevel="0" collapsed="false">
      <c r="A30" s="15" t="n">
        <v>0.05</v>
      </c>
      <c r="B30" s="25" t="n">
        <f aca="false">NPV(A30,B13:B17)+B12</f>
        <v>1306970.24240856</v>
      </c>
      <c r="E30" s="34" t="str">
        <f aca="false">IF(B30&gt;0,"Aceptar","Rechazar")</f>
        <v>Aceptar</v>
      </c>
    </row>
    <row r="31" customFormat="false" ht="15" hidden="false" customHeight="false" outlineLevel="0" collapsed="false">
      <c r="A31" s="15" t="n">
        <v>0.1</v>
      </c>
      <c r="B31" s="25" t="n">
        <f aca="false">NPV(A31,B13:B17)+B12</f>
        <v>932828.440473638</v>
      </c>
      <c r="E31" s="34" t="str">
        <f aca="false">IF(B31&gt;0,"Aceptar","Rechazar")</f>
        <v>Aceptar</v>
      </c>
    </row>
    <row r="32" customFormat="false" ht="15" hidden="false" customHeight="false" outlineLevel="0" collapsed="false">
      <c r="A32" s="15" t="n">
        <v>0.15</v>
      </c>
      <c r="B32" s="25" t="n">
        <f aca="false">NPV(A32,B13:B17)+B12</f>
        <v>639276.482776484</v>
      </c>
      <c r="E32" s="34" t="str">
        <f aca="false">IF(B32&gt;0,"Aceptar","Rechazar")</f>
        <v>Aceptar</v>
      </c>
    </row>
    <row r="33" customFormat="false" ht="15" hidden="false" customHeight="false" outlineLevel="0" collapsed="false">
      <c r="A33" s="15" t="n">
        <v>0.18</v>
      </c>
      <c r="B33" s="25" t="n">
        <f aca="false">NPV(A33,B13:B17)+B12</f>
        <v>493187.064369175</v>
      </c>
      <c r="E33" s="34" t="str">
        <f aca="false">IF(B33&gt;0,"Aceptar","Rechazar")</f>
        <v>Aceptar</v>
      </c>
    </row>
    <row r="34" customFormat="false" ht="15" hidden="false" customHeight="false" outlineLevel="0" collapsed="false">
      <c r="A34" s="15" t="n">
        <v>0.2</v>
      </c>
      <c r="B34" s="25" t="n">
        <f aca="false">NPV(A34,B13:B17)+B12</f>
        <v>406163.684279836</v>
      </c>
      <c r="E34" s="34" t="str">
        <f aca="false">IF(B34&gt;0,"Aceptar","Rechazar")</f>
        <v>Aceptar</v>
      </c>
    </row>
    <row r="35" customFormat="false" ht="15" hidden="false" customHeight="false" outlineLevel="0" collapsed="false">
      <c r="A35" s="15" t="n">
        <v>0.25</v>
      </c>
      <c r="B35" s="25" t="n">
        <f aca="false">NPV(A35,B13:B17)+B12</f>
        <v>218991.251758187</v>
      </c>
      <c r="E35" s="34" t="str">
        <f aca="false">IF(B35&gt;0,"Aceptar","Rechazar")</f>
        <v>Aceptar</v>
      </c>
    </row>
    <row r="36" customFormat="false" ht="15" hidden="false" customHeight="false" outlineLevel="0" collapsed="false">
      <c r="A36" s="15" t="n">
        <v>0.3</v>
      </c>
      <c r="B36" s="25" t="n">
        <f aca="false">NPV(A36,B13:B17)+B12</f>
        <v>67172.0454054344</v>
      </c>
      <c r="E36" s="34" t="str">
        <f aca="false">IF(B36&gt;0,"Aceptar","Rechazar")</f>
        <v>Aceptar</v>
      </c>
    </row>
  </sheetData>
  <mergeCells count="4">
    <mergeCell ref="A1:E1"/>
    <mergeCell ref="A3:E3"/>
    <mergeCell ref="A10:E10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2026-04-17T05:11:51Z</dcterms:created>
  <dc:creator>openpyxl</dc:creator>
  <dc:description/>
  <dc:language>en-US</dc:language>
  <cp:lastModifiedBy/>
  <dcterms:modified xsi:type="dcterms:W3CDTF">2026-04-17T05:11:51Z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